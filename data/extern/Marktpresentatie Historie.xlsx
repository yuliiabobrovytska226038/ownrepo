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rev-market-presentation\data\extern\"/>
    </mc:Choice>
  </mc:AlternateContent>
  <xr:revisionPtr revIDLastSave="0" documentId="13_ncr:1_{90A46113-69CA-4C92-B78A-D6A400295738}" xr6:coauthVersionLast="47" xr6:coauthVersionMax="47" xr10:uidLastSave="{00000000-0000-0000-0000-000000000000}"/>
  <bookViews>
    <workbookView xWindow="0" yWindow="360" windowWidth="19420" windowHeight="10300" firstSheet="1" activeTab="1" xr2:uid="{EFC3DA25-60EE-4D5B-ABDD-49B95A54761B}"/>
  </bookViews>
  <sheets>
    <sheet name="Waardeontwikkeling" sheetId="1" r:id="rId1"/>
    <sheet name="Waardeontwikkeling per model" sheetId="2" r:id="rId2"/>
    <sheet name="Disconteringsvoet" sheetId="5" r:id="rId3"/>
    <sheet name="Disconteringsvoet scenarios" sheetId="4" r:id="rId4"/>
  </sheets>
  <definedNames>
    <definedName name="_xlnm._FilterDatabase" localSheetId="2" hidden="1">Disconteringsvoet!$A$1:$D$13</definedName>
    <definedName name="_xlnm._FilterDatabase" localSheetId="0" hidden="1">Waardeontwikkeling!$A$1:$E$24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7" i="1"/>
  <c r="E48" i="1"/>
  <c r="D49" i="1"/>
  <c r="E49" i="1" s="1"/>
  <c r="D48" i="1"/>
  <c r="D47" i="1"/>
  <c r="D46" i="1"/>
  <c r="D45" i="1"/>
  <c r="E44" i="1"/>
  <c r="D44" i="1"/>
  <c r="E35" i="1"/>
  <c r="E40" i="1" s="1"/>
  <c r="E36" i="1"/>
  <c r="E41" i="1" s="1"/>
  <c r="E37" i="1"/>
  <c r="E38" i="1"/>
  <c r="E39" i="1"/>
  <c r="E42" i="1"/>
  <c r="E43" i="1"/>
  <c r="D43" i="1"/>
  <c r="D42" i="1"/>
  <c r="D41" i="1"/>
  <c r="D38" i="1"/>
  <c r="E34" i="1"/>
  <c r="E29" i="1"/>
  <c r="D40" i="1"/>
  <c r="D39" i="1"/>
  <c r="D37" i="1"/>
  <c r="D36" i="1"/>
  <c r="D33" i="1"/>
  <c r="E33" i="1" s="1"/>
  <c r="D34" i="1"/>
  <c r="D32" i="1"/>
  <c r="D31" i="1"/>
  <c r="D30" i="1"/>
  <c r="D25" i="1"/>
  <c r="D35" i="1"/>
  <c r="D29" i="1"/>
  <c r="D27" i="1"/>
  <c r="D26" i="1"/>
  <c r="B2" i="5"/>
  <c r="B3" i="5"/>
  <c r="B4" i="5"/>
  <c r="D4" i="5"/>
  <c r="B5" i="5"/>
  <c r="D5" i="5"/>
  <c r="B6" i="5"/>
  <c r="D6" i="5"/>
  <c r="B7" i="5"/>
  <c r="D7" i="5"/>
  <c r="B8" i="5"/>
  <c r="B9" i="5"/>
  <c r="B10" i="5"/>
  <c r="D10" i="5"/>
  <c r="B11" i="5"/>
  <c r="D11" i="5"/>
  <c r="B12" i="5"/>
  <c r="D12" i="5"/>
  <c r="D13" i="5" s="1"/>
  <c r="B13" i="5"/>
  <c r="B6" i="4"/>
  <c r="B7" i="4" s="1"/>
  <c r="B8" i="4" s="1"/>
  <c r="B9" i="4" s="1"/>
  <c r="C6" i="4"/>
  <c r="C7" i="4" s="1"/>
  <c r="C8" i="4" s="1"/>
  <c r="C9" i="4" s="1"/>
  <c r="D28" i="1"/>
  <c r="D17" i="1"/>
  <c r="E17" i="1" s="1"/>
  <c r="D22" i="1"/>
  <c r="D7" i="1"/>
  <c r="E7" i="1" s="1"/>
  <c r="D8" i="1"/>
  <c r="E8" i="1" s="1"/>
  <c r="D9" i="1"/>
  <c r="E9" i="1" s="1"/>
  <c r="D10" i="1"/>
  <c r="D11" i="1"/>
  <c r="D13" i="1"/>
  <c r="D14" i="1"/>
  <c r="D15" i="1"/>
  <c r="D16" i="1"/>
  <c r="D18" i="1"/>
  <c r="D19" i="1"/>
  <c r="D20" i="1"/>
  <c r="D21" i="1"/>
  <c r="D23" i="1"/>
  <c r="D24" i="1"/>
  <c r="D6" i="1"/>
  <c r="E6" i="1" s="1"/>
  <c r="E25" i="1" l="1"/>
  <c r="E30" i="1" s="1"/>
  <c r="E22" i="1"/>
  <c r="E27" i="1" s="1"/>
  <c r="E32" i="1" s="1"/>
  <c r="E14" i="1"/>
  <c r="E19" i="1" s="1"/>
  <c r="E24" i="1" s="1"/>
  <c r="E13" i="1"/>
  <c r="E18" i="1" s="1"/>
  <c r="E23" i="1" s="1"/>
  <c r="E28" i="1" s="1"/>
  <c r="E11" i="1"/>
  <c r="E16" i="1" s="1"/>
  <c r="E21" i="1" s="1"/>
  <c r="E26" i="1" s="1"/>
  <c r="E31" i="1" s="1"/>
  <c r="E10" i="1"/>
  <c r="E15" i="1" s="1"/>
  <c r="E20" i="1" s="1"/>
</calcChain>
</file>

<file path=xl/sharedStrings.xml><?xml version="1.0" encoding="utf-8"?>
<sst xmlns="http://schemas.openxmlformats.org/spreadsheetml/2006/main" count="98" uniqueCount="27">
  <si>
    <t>Waarderingstype</t>
  </si>
  <si>
    <t>Jaar</t>
  </si>
  <si>
    <t>% Mutatie</t>
  </si>
  <si>
    <t>Index Mutatie</t>
  </si>
  <si>
    <t>Indexcijfer</t>
  </si>
  <si>
    <t>Basis</t>
  </si>
  <si>
    <t>Full</t>
  </si>
  <si>
    <t>Beleggers (MSCI)</t>
  </si>
  <si>
    <t>Koopprijsontwikkeling (CBS)</t>
  </si>
  <si>
    <t>Beleidswaarde</t>
  </si>
  <si>
    <t>Waarderingsmodel</t>
  </si>
  <si>
    <t>Woningen</t>
  </si>
  <si>
    <t>Parkeren</t>
  </si>
  <si>
    <t>BOG/MOG/ZOG</t>
  </si>
  <si>
    <t>Datum</t>
  </si>
  <si>
    <t>Disconteringsvoet</t>
  </si>
  <si>
    <t>Percentage</t>
  </si>
  <si>
    <t>Doorexploiteren</t>
  </si>
  <si>
    <t>Uitponden</t>
  </si>
  <si>
    <t>Mediaan</t>
  </si>
  <si>
    <t>DV DE</t>
  </si>
  <si>
    <t>DV UP</t>
  </si>
  <si>
    <t>Rente</t>
  </si>
  <si>
    <t>Opslag</t>
  </si>
  <si>
    <t>Enkel woningen: EGW/MGW, full gewaardeerd</t>
  </si>
  <si>
    <t>Rente stijgt + opslag gelijk</t>
  </si>
  <si>
    <t>Volledige stijging rente ongedaan door opslag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</si>
</sst>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21F2-590C-4B88-9DC9-734BD946390D}">
  <dimension ref="A1:E49"/>
  <sheetViews>
    <sheetView topLeftCell="A37" workbookViewId="0">
      <selection activeCell="D51" sqref="D51"/>
    </sheetView>
  </sheetViews>
  <sheetFormatPr defaultRowHeight="14.5" x14ac:dyDescent="0.35"/>
  <cols>
    <col min="1" max="1" width="25.453125" bestFit="1" customWidth="1"/>
    <col min="2" max="2" width="4.81640625" bestFit="1" customWidth="1"/>
    <col min="3" max="3" width="9.54296875" bestFit="1" customWidth="1"/>
    <col min="4" max="4" width="14.7265625" bestFit="1" customWidth="1"/>
    <col min="5" max="5" width="15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2016</v>
      </c>
      <c r="D2">
        <v>100</v>
      </c>
      <c r="E2" s="2">
        <v>100</v>
      </c>
    </row>
    <row r="3" spans="1:5" x14ac:dyDescent="0.35">
      <c r="A3" t="s">
        <v>6</v>
      </c>
      <c r="B3">
        <v>2016</v>
      </c>
      <c r="D3">
        <v>100</v>
      </c>
      <c r="E3" s="2">
        <v>100</v>
      </c>
    </row>
    <row r="4" spans="1:5" x14ac:dyDescent="0.35">
      <c r="A4" t="s">
        <v>7</v>
      </c>
      <c r="B4">
        <v>2016</v>
      </c>
      <c r="D4">
        <v>100</v>
      </c>
      <c r="E4" s="2">
        <v>100</v>
      </c>
    </row>
    <row r="5" spans="1:5" x14ac:dyDescent="0.35">
      <c r="A5" t="s">
        <v>8</v>
      </c>
      <c r="B5">
        <v>2016</v>
      </c>
      <c r="D5">
        <v>100</v>
      </c>
      <c r="E5" s="2">
        <v>100</v>
      </c>
    </row>
    <row r="6" spans="1:5" x14ac:dyDescent="0.35">
      <c r="A6" t="s">
        <v>5</v>
      </c>
      <c r="B6">
        <v>2017</v>
      </c>
      <c r="C6" s="1">
        <v>6.0000000000000001E-3</v>
      </c>
      <c r="D6">
        <f>C6*100+100</f>
        <v>100.6</v>
      </c>
      <c r="E6" s="2">
        <f>E2/100*D6/100*100</f>
        <v>100.6</v>
      </c>
    </row>
    <row r="7" spans="1:5" x14ac:dyDescent="0.35">
      <c r="A7" t="s">
        <v>6</v>
      </c>
      <c r="B7">
        <v>2017</v>
      </c>
      <c r="C7" s="1">
        <v>7.6999999999999999E-2</v>
      </c>
      <c r="D7">
        <f t="shared" ref="D7:D24" si="0">C7*100+100</f>
        <v>107.7</v>
      </c>
      <c r="E7" s="2">
        <f t="shared" ref="E7:E11" si="1">E3/100*D7/100*100</f>
        <v>107.69999999999999</v>
      </c>
    </row>
    <row r="8" spans="1:5" x14ac:dyDescent="0.35">
      <c r="A8" t="s">
        <v>7</v>
      </c>
      <c r="B8">
        <v>2017</v>
      </c>
      <c r="C8" s="1">
        <v>0.111</v>
      </c>
      <c r="D8">
        <f t="shared" si="0"/>
        <v>111.1</v>
      </c>
      <c r="E8" s="2">
        <f t="shared" si="1"/>
        <v>111.1</v>
      </c>
    </row>
    <row r="9" spans="1:5" x14ac:dyDescent="0.35">
      <c r="A9" t="s">
        <v>8</v>
      </c>
      <c r="B9">
        <v>2017</v>
      </c>
      <c r="C9" s="1">
        <v>8.2000000000000003E-2</v>
      </c>
      <c r="D9">
        <f t="shared" si="0"/>
        <v>108.2</v>
      </c>
      <c r="E9" s="2">
        <f t="shared" si="1"/>
        <v>108.2</v>
      </c>
    </row>
    <row r="10" spans="1:5" x14ac:dyDescent="0.35">
      <c r="A10" t="s">
        <v>5</v>
      </c>
      <c r="B10">
        <v>2018</v>
      </c>
      <c r="C10" s="1">
        <v>0.123</v>
      </c>
      <c r="D10">
        <f t="shared" si="0"/>
        <v>112.3</v>
      </c>
      <c r="E10" s="2">
        <f t="shared" si="1"/>
        <v>112.9738</v>
      </c>
    </row>
    <row r="11" spans="1:5" x14ac:dyDescent="0.35">
      <c r="A11" t="s">
        <v>6</v>
      </c>
      <c r="B11">
        <v>2018</v>
      </c>
      <c r="C11" s="1">
        <v>0.129</v>
      </c>
      <c r="D11">
        <f t="shared" si="0"/>
        <v>112.9</v>
      </c>
      <c r="E11" s="2">
        <f t="shared" si="1"/>
        <v>121.5933</v>
      </c>
    </row>
    <row r="12" spans="1:5" x14ac:dyDescent="0.35">
      <c r="A12" t="s">
        <v>9</v>
      </c>
      <c r="B12">
        <v>2018</v>
      </c>
      <c r="C12" s="1"/>
      <c r="D12">
        <v>100</v>
      </c>
      <c r="E12" s="2">
        <v>100</v>
      </c>
    </row>
    <row r="13" spans="1:5" x14ac:dyDescent="0.35">
      <c r="A13" t="s">
        <v>7</v>
      </c>
      <c r="B13">
        <v>2018</v>
      </c>
      <c r="C13" s="1">
        <v>0.13600000000000001</v>
      </c>
      <c r="D13">
        <f t="shared" si="0"/>
        <v>113.6</v>
      </c>
      <c r="E13" s="2">
        <f t="shared" ref="E13:E24" si="2">E8/100*D13/100*100</f>
        <v>126.20959999999999</v>
      </c>
    </row>
    <row r="14" spans="1:5" x14ac:dyDescent="0.35">
      <c r="A14" t="s">
        <v>8</v>
      </c>
      <c r="B14">
        <v>2018</v>
      </c>
      <c r="C14" s="1">
        <v>8.4000000000000005E-2</v>
      </c>
      <c r="D14">
        <f t="shared" si="0"/>
        <v>108.4</v>
      </c>
      <c r="E14" s="2">
        <f t="shared" si="2"/>
        <v>117.28880000000001</v>
      </c>
    </row>
    <row r="15" spans="1:5" x14ac:dyDescent="0.35">
      <c r="A15" t="s">
        <v>5</v>
      </c>
      <c r="B15">
        <v>2019</v>
      </c>
      <c r="C15" s="1">
        <v>0.124</v>
      </c>
      <c r="D15">
        <f t="shared" si="0"/>
        <v>112.4</v>
      </c>
      <c r="E15" s="2">
        <f t="shared" si="2"/>
        <v>126.98255119999999</v>
      </c>
    </row>
    <row r="16" spans="1:5" x14ac:dyDescent="0.35">
      <c r="A16" t="s">
        <v>6</v>
      </c>
      <c r="B16">
        <v>2019</v>
      </c>
      <c r="C16" s="1">
        <v>8.1000000000000003E-2</v>
      </c>
      <c r="D16">
        <f t="shared" si="0"/>
        <v>108.1</v>
      </c>
      <c r="E16" s="2">
        <f t="shared" si="2"/>
        <v>131.4423573</v>
      </c>
    </row>
    <row r="17" spans="1:5" x14ac:dyDescent="0.35">
      <c r="A17" t="s">
        <v>9</v>
      </c>
      <c r="B17">
        <v>2019</v>
      </c>
      <c r="C17" s="1">
        <v>5.1000000000000004E-3</v>
      </c>
      <c r="D17">
        <f t="shared" si="0"/>
        <v>100.51</v>
      </c>
      <c r="E17" s="2">
        <f t="shared" si="2"/>
        <v>100.51</v>
      </c>
    </row>
    <row r="18" spans="1:5" x14ac:dyDescent="0.35">
      <c r="A18" t="s">
        <v>7</v>
      </c>
      <c r="B18">
        <v>2019</v>
      </c>
      <c r="C18" s="1">
        <v>9.0999999999999998E-2</v>
      </c>
      <c r="D18">
        <f t="shared" si="0"/>
        <v>109.1</v>
      </c>
      <c r="E18" s="2">
        <f t="shared" si="2"/>
        <v>137.69467359999999</v>
      </c>
    </row>
    <row r="19" spans="1:5" x14ac:dyDescent="0.35">
      <c r="A19" t="s">
        <v>8</v>
      </c>
      <c r="B19">
        <v>2019</v>
      </c>
      <c r="C19" s="1">
        <v>6.5000000000000002E-2</v>
      </c>
      <c r="D19">
        <f t="shared" si="0"/>
        <v>106.5</v>
      </c>
      <c r="E19" s="2">
        <f t="shared" si="2"/>
        <v>124.91257200000001</v>
      </c>
    </row>
    <row r="20" spans="1:5" x14ac:dyDescent="0.35">
      <c r="A20" t="s">
        <v>5</v>
      </c>
      <c r="B20">
        <v>2020</v>
      </c>
      <c r="C20" s="1">
        <v>7.4999999999999997E-2</v>
      </c>
      <c r="D20">
        <f t="shared" si="0"/>
        <v>107.5</v>
      </c>
      <c r="E20" s="2">
        <f t="shared" si="2"/>
        <v>136.50624253999999</v>
      </c>
    </row>
    <row r="21" spans="1:5" x14ac:dyDescent="0.35">
      <c r="A21" t="s">
        <v>6</v>
      </c>
      <c r="B21">
        <v>2020</v>
      </c>
      <c r="C21" s="1">
        <v>9.1999999999999998E-2</v>
      </c>
      <c r="D21">
        <f t="shared" si="0"/>
        <v>109.2</v>
      </c>
      <c r="E21" s="2">
        <f t="shared" si="2"/>
        <v>143.5350541716</v>
      </c>
    </row>
    <row r="22" spans="1:5" x14ac:dyDescent="0.35">
      <c r="A22" t="s">
        <v>9</v>
      </c>
      <c r="B22">
        <v>2020</v>
      </c>
      <c r="C22" s="1">
        <v>9.4E-2</v>
      </c>
      <c r="D22">
        <f t="shared" si="0"/>
        <v>109.4</v>
      </c>
      <c r="E22" s="2">
        <f t="shared" si="2"/>
        <v>109.95794000000004</v>
      </c>
    </row>
    <row r="23" spans="1:5" x14ac:dyDescent="0.35">
      <c r="A23" t="s">
        <v>7</v>
      </c>
      <c r="B23">
        <v>2020</v>
      </c>
      <c r="C23" s="1">
        <v>4.4999999999999998E-2</v>
      </c>
      <c r="D23">
        <f t="shared" si="0"/>
        <v>104.5</v>
      </c>
      <c r="E23" s="2">
        <f t="shared" si="2"/>
        <v>143.89093391199998</v>
      </c>
    </row>
    <row r="24" spans="1:5" x14ac:dyDescent="0.35">
      <c r="A24" t="s">
        <v>8</v>
      </c>
      <c r="B24">
        <v>2020</v>
      </c>
      <c r="C24" s="1">
        <v>8.4000000000000005E-2</v>
      </c>
      <c r="D24">
        <f t="shared" si="0"/>
        <v>108.4</v>
      </c>
      <c r="E24" s="2">
        <f t="shared" si="2"/>
        <v>135.40522804800003</v>
      </c>
    </row>
    <row r="25" spans="1:5" x14ac:dyDescent="0.35">
      <c r="A25" t="s">
        <v>5</v>
      </c>
      <c r="B25">
        <v>2021</v>
      </c>
      <c r="C25" s="1">
        <v>0.126</v>
      </c>
      <c r="D25">
        <f t="shared" ref="D25" si="3">C25*100+100</f>
        <v>112.6</v>
      </c>
      <c r="E25" s="2">
        <f t="shared" ref="E25" si="4">E20/100*D25/100*100</f>
        <v>153.70602910003998</v>
      </c>
    </row>
    <row r="26" spans="1:5" x14ac:dyDescent="0.35">
      <c r="A26" t="s">
        <v>6</v>
      </c>
      <c r="B26">
        <v>2021</v>
      </c>
      <c r="C26" s="1">
        <v>0.157</v>
      </c>
      <c r="D26">
        <f t="shared" ref="D26:D30" si="5">C26*100+100</f>
        <v>115.7</v>
      </c>
      <c r="E26" s="2">
        <f>E21/100*D26/100*100</f>
        <v>166.07005767654121</v>
      </c>
    </row>
    <row r="27" spans="1:5" x14ac:dyDescent="0.35">
      <c r="A27" t="s">
        <v>9</v>
      </c>
      <c r="B27">
        <v>2021</v>
      </c>
      <c r="C27" s="1">
        <v>0.16500000000000001</v>
      </c>
      <c r="D27">
        <f t="shared" si="5"/>
        <v>116.5</v>
      </c>
      <c r="E27" s="2">
        <f>E22/100*D27/100*100</f>
        <v>128.10100010000005</v>
      </c>
    </row>
    <row r="28" spans="1:5" x14ac:dyDescent="0.35">
      <c r="A28" t="s">
        <v>7</v>
      </c>
      <c r="B28">
        <v>2021</v>
      </c>
      <c r="C28" s="1">
        <v>0.11800000000000001</v>
      </c>
      <c r="D28">
        <f>C28*100+100</f>
        <v>111.8</v>
      </c>
      <c r="E28" s="2">
        <f>E23/100*D28/100*100</f>
        <v>160.87006411361597</v>
      </c>
    </row>
    <row r="29" spans="1:5" x14ac:dyDescent="0.35">
      <c r="A29" t="s">
        <v>8</v>
      </c>
      <c r="B29">
        <v>2021</v>
      </c>
      <c r="C29" s="1">
        <v>0.20300000000000001</v>
      </c>
      <c r="D29">
        <f t="shared" si="5"/>
        <v>120.3</v>
      </c>
      <c r="E29" s="2">
        <f>E24/100*D29/100*100</f>
        <v>162.89248934174404</v>
      </c>
    </row>
    <row r="30" spans="1:5" x14ac:dyDescent="0.35">
      <c r="A30" t="s">
        <v>5</v>
      </c>
      <c r="B30">
        <v>2022</v>
      </c>
      <c r="C30" s="1">
        <v>0.03</v>
      </c>
      <c r="D30">
        <f t="shared" si="5"/>
        <v>103</v>
      </c>
      <c r="E30" s="2">
        <f t="shared" ref="E30" si="6">E25/100*D30/100*100</f>
        <v>158.31720997304117</v>
      </c>
    </row>
    <row r="31" spans="1:5" x14ac:dyDescent="0.35">
      <c r="A31" t="s">
        <v>6</v>
      </c>
      <c r="B31">
        <v>2022</v>
      </c>
      <c r="C31" s="1">
        <v>-3.4000000000000002E-2</v>
      </c>
      <c r="D31">
        <f t="shared" ref="D31:D32" si="7">C31*100+100</f>
        <v>96.6</v>
      </c>
      <c r="E31" s="2">
        <f>E26/100*D31/100*100</f>
        <v>160.42367571553879</v>
      </c>
    </row>
    <row r="32" spans="1:5" x14ac:dyDescent="0.35">
      <c r="A32" t="s">
        <v>9</v>
      </c>
      <c r="B32">
        <v>2022</v>
      </c>
      <c r="C32" s="1">
        <v>3.4000000000000002E-2</v>
      </c>
      <c r="D32">
        <f t="shared" si="7"/>
        <v>103.4</v>
      </c>
      <c r="E32" s="2">
        <f>E27/100*D32/100*100</f>
        <v>132.45643410340006</v>
      </c>
    </row>
    <row r="33" spans="1:5" x14ac:dyDescent="0.35">
      <c r="A33" t="s">
        <v>7</v>
      </c>
      <c r="B33">
        <v>2022</v>
      </c>
      <c r="C33" s="1">
        <v>-8.9999999999999993E-3</v>
      </c>
      <c r="D33">
        <f>C33*100+100</f>
        <v>99.1</v>
      </c>
      <c r="E33" s="2">
        <f>E28/100*D33/100*100</f>
        <v>159.42223353659341</v>
      </c>
    </row>
    <row r="34" spans="1:5" x14ac:dyDescent="0.35">
      <c r="A34" t="s">
        <v>8</v>
      </c>
      <c r="B34">
        <v>2022</v>
      </c>
      <c r="C34" s="1">
        <v>2.7E-2</v>
      </c>
      <c r="D34">
        <f t="shared" ref="D34" si="8">C34*100+100</f>
        <v>102.7</v>
      </c>
      <c r="E34" s="2">
        <f>E29/100*D34/100*100</f>
        <v>167.29058655397111</v>
      </c>
    </row>
    <row r="35" spans="1:5" x14ac:dyDescent="0.35">
      <c r="A35" t="s">
        <v>7</v>
      </c>
      <c r="B35">
        <v>2023</v>
      </c>
      <c r="C35" s="1">
        <v>-8.5999999999999993E-2</v>
      </c>
      <c r="D35">
        <f>C35*100+100</f>
        <v>91.4</v>
      </c>
      <c r="E35" s="2">
        <f t="shared" ref="E35:E49" si="9">E30/100*D35/100*100</f>
        <v>144.70192991535964</v>
      </c>
    </row>
    <row r="36" spans="1:5" x14ac:dyDescent="0.35">
      <c r="A36" t="s">
        <v>5</v>
      </c>
      <c r="B36">
        <v>2023</v>
      </c>
      <c r="C36" s="1">
        <v>-1.7999999999999999E-2</v>
      </c>
      <c r="D36">
        <f t="shared" ref="D36:D37" si="10">C36*100+100</f>
        <v>98.2</v>
      </c>
      <c r="E36" s="2">
        <f t="shared" si="9"/>
        <v>157.53604955265911</v>
      </c>
    </row>
    <row r="37" spans="1:5" x14ac:dyDescent="0.35">
      <c r="A37" t="s">
        <v>6</v>
      </c>
      <c r="B37">
        <v>2023</v>
      </c>
      <c r="C37" s="1">
        <v>-5.8999999999999997E-2</v>
      </c>
      <c r="D37">
        <f t="shared" si="10"/>
        <v>94.1</v>
      </c>
      <c r="E37" s="2">
        <f t="shared" si="9"/>
        <v>124.64150449129944</v>
      </c>
    </row>
    <row r="38" spans="1:5" x14ac:dyDescent="0.35">
      <c r="A38" t="s">
        <v>9</v>
      </c>
      <c r="B38">
        <v>2023</v>
      </c>
      <c r="C38" s="1">
        <v>-0.13300000000000001</v>
      </c>
      <c r="D38">
        <f>C38*100+100</f>
        <v>86.7</v>
      </c>
      <c r="E38" s="2">
        <f t="shared" si="9"/>
        <v>138.21907647622649</v>
      </c>
    </row>
    <row r="39" spans="1:5" x14ac:dyDescent="0.35">
      <c r="A39" t="s">
        <v>8</v>
      </c>
      <c r="B39">
        <v>2023</v>
      </c>
      <c r="C39" s="1">
        <v>1.6E-2</v>
      </c>
      <c r="D39">
        <f t="shared" ref="D39" si="11">C39*100+100</f>
        <v>101.6</v>
      </c>
      <c r="E39" s="2">
        <f t="shared" si="9"/>
        <v>169.96723593883465</v>
      </c>
    </row>
    <row r="40" spans="1:5" x14ac:dyDescent="0.35">
      <c r="A40" t="s">
        <v>7</v>
      </c>
      <c r="B40">
        <v>2024</v>
      </c>
      <c r="C40" s="1">
        <v>0.12</v>
      </c>
      <c r="D40">
        <f t="shared" ref="D40:D49" si="12">C40*100+100</f>
        <v>112</v>
      </c>
      <c r="E40" s="2">
        <f t="shared" si="9"/>
        <v>162.06616150520279</v>
      </c>
    </row>
    <row r="41" spans="1:5" x14ac:dyDescent="0.35">
      <c r="A41" t="s">
        <v>5</v>
      </c>
      <c r="B41">
        <v>2024</v>
      </c>
      <c r="C41" s="3">
        <v>0.106</v>
      </c>
      <c r="D41">
        <f t="shared" si="12"/>
        <v>110.6</v>
      </c>
      <c r="E41" s="2">
        <f t="shared" si="9"/>
        <v>174.23487080524097</v>
      </c>
    </row>
    <row r="42" spans="1:5" x14ac:dyDescent="0.35">
      <c r="A42" t="s">
        <v>6</v>
      </c>
      <c r="B42">
        <v>2024</v>
      </c>
      <c r="C42" s="3">
        <v>8.5999999999999993E-2</v>
      </c>
      <c r="D42">
        <f t="shared" si="12"/>
        <v>108.6</v>
      </c>
      <c r="E42" s="2">
        <f t="shared" si="9"/>
        <v>135.36067387755119</v>
      </c>
    </row>
    <row r="43" spans="1:5" x14ac:dyDescent="0.35">
      <c r="A43" t="s">
        <v>9</v>
      </c>
      <c r="B43">
        <v>2024</v>
      </c>
      <c r="C43" s="3">
        <v>0.12</v>
      </c>
      <c r="D43">
        <f t="shared" si="12"/>
        <v>112</v>
      </c>
      <c r="E43" s="2">
        <f t="shared" si="9"/>
        <v>154.80536565337366</v>
      </c>
    </row>
    <row r="44" spans="1:5" x14ac:dyDescent="0.35">
      <c r="A44" t="s">
        <v>8</v>
      </c>
      <c r="B44">
        <v>2024</v>
      </c>
      <c r="C44" s="3">
        <v>0.109</v>
      </c>
      <c r="D44">
        <f t="shared" si="12"/>
        <v>110.9</v>
      </c>
      <c r="E44" s="2">
        <f t="shared" si="9"/>
        <v>188.49366465616762</v>
      </c>
    </row>
    <row r="45" spans="1:5" x14ac:dyDescent="0.35">
      <c r="A45" t="s">
        <v>7</v>
      </c>
      <c r="B45">
        <v>2025</v>
      </c>
      <c r="C45" s="4">
        <v>0.05</v>
      </c>
      <c r="D45">
        <f t="shared" si="12"/>
        <v>105</v>
      </c>
      <c r="E45" s="2">
        <f t="shared" si="9"/>
        <v>170.16946958046293</v>
      </c>
    </row>
    <row r="46" spans="1:5" x14ac:dyDescent="0.35">
      <c r="A46" t="s">
        <v>5</v>
      </c>
      <c r="B46">
        <v>2025</v>
      </c>
      <c r="C46" s="4">
        <v>0.05</v>
      </c>
      <c r="D46">
        <f t="shared" si="12"/>
        <v>105</v>
      </c>
      <c r="E46" s="2">
        <f t="shared" si="9"/>
        <v>182.94661434550304</v>
      </c>
    </row>
    <row r="47" spans="1:5" x14ac:dyDescent="0.35">
      <c r="A47" t="s">
        <v>6</v>
      </c>
      <c r="B47">
        <v>2025</v>
      </c>
      <c r="C47" s="4">
        <v>0.05</v>
      </c>
      <c r="D47">
        <f t="shared" si="12"/>
        <v>105</v>
      </c>
      <c r="E47" s="2">
        <f t="shared" si="9"/>
        <v>142.12870757142875</v>
      </c>
    </row>
    <row r="48" spans="1:5" x14ac:dyDescent="0.35">
      <c r="A48" t="s">
        <v>9</v>
      </c>
      <c r="B48">
        <v>2025</v>
      </c>
      <c r="C48" s="4">
        <v>0.05</v>
      </c>
      <c r="D48">
        <f t="shared" si="12"/>
        <v>105</v>
      </c>
      <c r="E48" s="2">
        <f t="shared" si="9"/>
        <v>162.54563393604235</v>
      </c>
    </row>
    <row r="49" spans="1:5" x14ac:dyDescent="0.35">
      <c r="A49" t="s">
        <v>8</v>
      </c>
      <c r="B49">
        <v>2025</v>
      </c>
      <c r="C49" s="6">
        <v>5.3999999999999999E-2</v>
      </c>
      <c r="D49">
        <f t="shared" si="12"/>
        <v>105.4</v>
      </c>
      <c r="E49" s="2">
        <f t="shared" si="9"/>
        <v>198.67232254760069</v>
      </c>
    </row>
  </sheetData>
  <autoFilter ref="A1:E24" xr:uid="{3F1321F2-590C-4B88-9DC9-734BD946390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B282-BABC-429E-9A27-07F6E36903D5}">
  <dimension ref="A1:C19"/>
  <sheetViews>
    <sheetView tabSelected="1" workbookViewId="0">
      <selection activeCell="E9" sqref="E9"/>
    </sheetView>
  </sheetViews>
  <sheetFormatPr defaultRowHeight="14.5" x14ac:dyDescent="0.35"/>
  <cols>
    <col min="1" max="1" width="5.453125" bestFit="1" customWidth="1"/>
    <col min="2" max="2" width="17.26953125" bestFit="1" customWidth="1"/>
    <col min="3" max="3" width="9.54296875" bestFit="1" customWidth="1"/>
  </cols>
  <sheetData>
    <row r="1" spans="1:3" x14ac:dyDescent="0.35">
      <c r="A1" t="s">
        <v>1</v>
      </c>
      <c r="B1" t="s">
        <v>10</v>
      </c>
      <c r="C1" t="s">
        <v>2</v>
      </c>
    </row>
    <row r="2" spans="1:3" x14ac:dyDescent="0.35">
      <c r="A2">
        <v>2024</v>
      </c>
      <c r="B2" t="s">
        <v>11</v>
      </c>
      <c r="C2" s="1">
        <v>9.2999999999999999E-2</v>
      </c>
    </row>
    <row r="3" spans="1:3" x14ac:dyDescent="0.35">
      <c r="A3">
        <v>2024</v>
      </c>
      <c r="B3" t="s">
        <v>12</v>
      </c>
      <c r="C3" s="1">
        <v>4.4999999999999998E-2</v>
      </c>
    </row>
    <row r="4" spans="1:3" x14ac:dyDescent="0.35">
      <c r="A4">
        <v>2024</v>
      </c>
      <c r="B4" t="s">
        <v>13</v>
      </c>
      <c r="C4" s="1">
        <v>2.1000000000000001E-2</v>
      </c>
    </row>
    <row r="5" spans="1:3" x14ac:dyDescent="0.35">
      <c r="A5">
        <v>2023</v>
      </c>
      <c r="B5" t="s">
        <v>11</v>
      </c>
      <c r="C5" s="1">
        <v>-4.5999999999999999E-2</v>
      </c>
    </row>
    <row r="6" spans="1:3" x14ac:dyDescent="0.35">
      <c r="A6">
        <v>2023</v>
      </c>
      <c r="B6" t="s">
        <v>12</v>
      </c>
      <c r="C6" s="1">
        <v>8.0000000000000002E-3</v>
      </c>
    </row>
    <row r="7" spans="1:3" x14ac:dyDescent="0.35">
      <c r="A7">
        <v>2023</v>
      </c>
      <c r="B7" t="s">
        <v>13</v>
      </c>
      <c r="C7" s="1">
        <v>-2.8000000000000001E-2</v>
      </c>
    </row>
    <row r="8" spans="1:3" x14ac:dyDescent="0.35">
      <c r="A8">
        <v>2022</v>
      </c>
      <c r="B8" t="s">
        <v>11</v>
      </c>
      <c r="C8" s="1">
        <v>-1.2999999999999999E-2</v>
      </c>
    </row>
    <row r="9" spans="1:3" x14ac:dyDescent="0.35">
      <c r="A9">
        <v>2022</v>
      </c>
      <c r="B9" t="s">
        <v>12</v>
      </c>
      <c r="C9" s="1">
        <v>1.4999999999999999E-2</v>
      </c>
    </row>
    <row r="10" spans="1:3" x14ac:dyDescent="0.35">
      <c r="A10">
        <v>2022</v>
      </c>
      <c r="B10" t="s">
        <v>13</v>
      </c>
      <c r="C10" s="1">
        <v>8.9999999999999993E-3</v>
      </c>
    </row>
    <row r="11" spans="1:3" x14ac:dyDescent="0.35">
      <c r="A11">
        <v>2021</v>
      </c>
      <c r="B11" t="s">
        <v>11</v>
      </c>
      <c r="C11" s="1">
        <v>0.14000000000000001</v>
      </c>
    </row>
    <row r="12" spans="1:3" x14ac:dyDescent="0.35">
      <c r="A12">
        <v>2021</v>
      </c>
      <c r="B12" t="s">
        <v>12</v>
      </c>
      <c r="C12" s="1">
        <v>5.5E-2</v>
      </c>
    </row>
    <row r="13" spans="1:3" x14ac:dyDescent="0.35">
      <c r="A13">
        <v>2021</v>
      </c>
      <c r="B13" t="s">
        <v>13</v>
      </c>
      <c r="C13" s="1">
        <v>3.3000000000000002E-2</v>
      </c>
    </row>
    <row r="14" spans="1:3" x14ac:dyDescent="0.35">
      <c r="A14">
        <v>2020</v>
      </c>
      <c r="B14" t="s">
        <v>11</v>
      </c>
      <c r="C14" s="1">
        <v>8.5999999999999993E-2</v>
      </c>
    </row>
    <row r="15" spans="1:3" x14ac:dyDescent="0.35">
      <c r="A15">
        <v>2020</v>
      </c>
      <c r="B15" t="s">
        <v>12</v>
      </c>
      <c r="C15" s="1">
        <v>6.0999999999999999E-2</v>
      </c>
    </row>
    <row r="16" spans="1:3" x14ac:dyDescent="0.35">
      <c r="A16">
        <v>2020</v>
      </c>
      <c r="B16" t="s">
        <v>13</v>
      </c>
      <c r="C16" s="1">
        <v>3.3000000000000002E-2</v>
      </c>
    </row>
    <row r="17" spans="1:3" x14ac:dyDescent="0.35">
      <c r="A17">
        <v>2019</v>
      </c>
      <c r="B17" t="s">
        <v>11</v>
      </c>
      <c r="C17" s="1">
        <v>9.7000000000000003E-2</v>
      </c>
    </row>
    <row r="18" spans="1:3" x14ac:dyDescent="0.35">
      <c r="A18">
        <v>2019</v>
      </c>
      <c r="B18" t="s">
        <v>12</v>
      </c>
      <c r="C18" s="1">
        <v>2.5999999999999999E-2</v>
      </c>
    </row>
    <row r="19" spans="1:3" x14ac:dyDescent="0.35">
      <c r="A19">
        <v>2019</v>
      </c>
      <c r="B19" t="s">
        <v>13</v>
      </c>
      <c r="C19" s="1">
        <v>7.0999999999999994E-2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78CD-3601-4BA4-B4B4-4E1AD4A58716}">
  <dimension ref="A1:D13"/>
  <sheetViews>
    <sheetView workbookViewId="0">
      <selection activeCell="A2" sqref="A2"/>
    </sheetView>
  </sheetViews>
  <sheetFormatPr defaultRowHeight="14.5" x14ac:dyDescent="0.35"/>
  <cols>
    <col min="1" max="1" width="10.1796875" bestFit="1" customWidth="1"/>
    <col min="2" max="2" width="10.1796875" customWidth="1"/>
    <col min="3" max="3" width="18" bestFit="1" customWidth="1"/>
    <col min="4" max="4" width="12.26953125" bestFit="1" customWidth="1"/>
  </cols>
  <sheetData>
    <row r="1" spans="1:4" x14ac:dyDescent="0.35">
      <c r="A1" t="s">
        <v>14</v>
      </c>
      <c r="B1" t="s">
        <v>1</v>
      </c>
      <c r="C1" t="s">
        <v>15</v>
      </c>
      <c r="D1" t="s">
        <v>16</v>
      </c>
    </row>
    <row r="2" spans="1:4" x14ac:dyDescent="0.35">
      <c r="A2" s="5">
        <v>44561</v>
      </c>
      <c r="B2">
        <f t="shared" ref="B2:B13" si="0">YEAR(A2)</f>
        <v>2021</v>
      </c>
      <c r="C2" s="5" t="s">
        <v>17</v>
      </c>
      <c r="D2" s="3">
        <v>5.3683000000000002E-2</v>
      </c>
    </row>
    <row r="3" spans="1:4" x14ac:dyDescent="0.35">
      <c r="A3" s="5">
        <v>44196</v>
      </c>
      <c r="B3">
        <f t="shared" si="0"/>
        <v>2020</v>
      </c>
      <c r="C3" s="5" t="s">
        <v>17</v>
      </c>
      <c r="D3" s="3">
        <v>5.7099999999999998E-2</v>
      </c>
    </row>
    <row r="4" spans="1:4" x14ac:dyDescent="0.35">
      <c r="A4" s="5">
        <v>43830</v>
      </c>
      <c r="B4">
        <f t="shared" si="0"/>
        <v>2019</v>
      </c>
      <c r="C4" s="5" t="s">
        <v>17</v>
      </c>
      <c r="D4" s="3">
        <f>D3+0.3%</f>
        <v>6.0100000000000001E-2</v>
      </c>
    </row>
    <row r="5" spans="1:4" x14ac:dyDescent="0.35">
      <c r="A5" s="5">
        <v>43465</v>
      </c>
      <c r="B5">
        <f t="shared" si="0"/>
        <v>2018</v>
      </c>
      <c r="C5" s="5" t="s">
        <v>17</v>
      </c>
      <c r="D5" s="3">
        <f>D4+0.25%</f>
        <v>6.2600000000000003E-2</v>
      </c>
    </row>
    <row r="6" spans="1:4" x14ac:dyDescent="0.35">
      <c r="A6" s="5">
        <v>43100</v>
      </c>
      <c r="B6">
        <f t="shared" si="0"/>
        <v>2017</v>
      </c>
      <c r="C6" s="5" t="s">
        <v>17</v>
      </c>
      <c r="D6" s="3">
        <f>D5+0.35%</f>
        <v>6.6100000000000006E-2</v>
      </c>
    </row>
    <row r="7" spans="1:4" x14ac:dyDescent="0.35">
      <c r="A7" s="5">
        <v>42735</v>
      </c>
      <c r="B7">
        <f t="shared" si="0"/>
        <v>2016</v>
      </c>
      <c r="C7" s="5" t="s">
        <v>17</v>
      </c>
      <c r="D7" s="3">
        <f>D6+0.57%</f>
        <v>7.1800000000000003E-2</v>
      </c>
    </row>
    <row r="8" spans="1:4" x14ac:dyDescent="0.35">
      <c r="A8" s="5">
        <v>44561</v>
      </c>
      <c r="B8">
        <f t="shared" si="0"/>
        <v>2021</v>
      </c>
      <c r="C8" s="5" t="s">
        <v>18</v>
      </c>
      <c r="D8" s="3">
        <v>6.2300000000000001E-2</v>
      </c>
    </row>
    <row r="9" spans="1:4" x14ac:dyDescent="0.35">
      <c r="A9" s="5">
        <v>44196</v>
      </c>
      <c r="B9">
        <f t="shared" si="0"/>
        <v>2020</v>
      </c>
      <c r="C9" s="5" t="s">
        <v>18</v>
      </c>
      <c r="D9" s="3">
        <v>6.3E-2</v>
      </c>
    </row>
    <row r="10" spans="1:4" x14ac:dyDescent="0.35">
      <c r="A10" s="5">
        <v>43830</v>
      </c>
      <c r="B10">
        <f t="shared" si="0"/>
        <v>2019</v>
      </c>
      <c r="C10" s="5" t="s">
        <v>18</v>
      </c>
      <c r="D10" s="3">
        <f>D9+0.27%</f>
        <v>6.5699999999999995E-2</v>
      </c>
    </row>
    <row r="11" spans="1:4" x14ac:dyDescent="0.35">
      <c r="A11" s="5">
        <v>43465</v>
      </c>
      <c r="B11">
        <f t="shared" si="0"/>
        <v>2018</v>
      </c>
      <c r="C11" s="5" t="s">
        <v>18</v>
      </c>
      <c r="D11" s="3">
        <f>D10+0.19%</f>
        <v>6.7599999999999993E-2</v>
      </c>
    </row>
    <row r="12" spans="1:4" x14ac:dyDescent="0.35">
      <c r="A12" s="5">
        <v>43100</v>
      </c>
      <c r="B12">
        <f t="shared" si="0"/>
        <v>2017</v>
      </c>
      <c r="C12" s="5" t="s">
        <v>18</v>
      </c>
      <c r="D12" s="3">
        <f>D11+0.35%</f>
        <v>7.1099999999999997E-2</v>
      </c>
    </row>
    <row r="13" spans="1:4" x14ac:dyDescent="0.35">
      <c r="A13" s="5">
        <v>42735</v>
      </c>
      <c r="B13">
        <f t="shared" si="0"/>
        <v>2016</v>
      </c>
      <c r="C13" s="5" t="s">
        <v>18</v>
      </c>
      <c r="D13" s="3">
        <f>D12+0.37%</f>
        <v>7.4799999999999991E-2</v>
      </c>
    </row>
  </sheetData>
  <autoFilter ref="A1:D13" xr:uid="{11E61E5E-C020-47EB-ACBE-081521B8213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A0C3-AD1F-43CB-83AD-739E55563C84}">
  <dimension ref="A1:E18"/>
  <sheetViews>
    <sheetView workbookViewId="0">
      <selection activeCell="I29" sqref="I29"/>
    </sheetView>
  </sheetViews>
  <sheetFormatPr defaultRowHeight="14.5" x14ac:dyDescent="0.35"/>
  <cols>
    <col min="1" max="1" width="10.453125" bestFit="1" customWidth="1"/>
  </cols>
  <sheetData>
    <row r="1" spans="1:5" x14ac:dyDescent="0.35">
      <c r="B1" t="s">
        <v>19</v>
      </c>
    </row>
    <row r="2" spans="1:5" x14ac:dyDescent="0.35">
      <c r="B2" t="s">
        <v>20</v>
      </c>
      <c r="C2" t="s">
        <v>21</v>
      </c>
      <c r="D2" t="s">
        <v>22</v>
      </c>
      <c r="E2" t="s">
        <v>23</v>
      </c>
    </row>
    <row r="3" spans="1:5" x14ac:dyDescent="0.35">
      <c r="A3" s="5">
        <v>44926</v>
      </c>
    </row>
    <row r="4" spans="1:5" x14ac:dyDescent="0.35">
      <c r="A4" s="5">
        <v>44561</v>
      </c>
      <c r="B4" s="3">
        <v>5.3683000000000002E-2</v>
      </c>
      <c r="C4" s="3">
        <v>6.2300000000000001E-2</v>
      </c>
    </row>
    <row r="5" spans="1:5" x14ac:dyDescent="0.35">
      <c r="A5" s="5">
        <v>44196</v>
      </c>
      <c r="B5" s="3">
        <v>5.7099999999999998E-2</v>
      </c>
      <c r="C5" s="3">
        <v>6.3E-2</v>
      </c>
    </row>
    <row r="6" spans="1:5" x14ac:dyDescent="0.35">
      <c r="A6" s="5">
        <v>43830</v>
      </c>
      <c r="B6" s="3">
        <f>B5+0.3%</f>
        <v>6.0100000000000001E-2</v>
      </c>
      <c r="C6" s="3">
        <f>C5+0.27%</f>
        <v>6.5699999999999995E-2</v>
      </c>
    </row>
    <row r="7" spans="1:5" x14ac:dyDescent="0.35">
      <c r="A7" s="5">
        <v>43465</v>
      </c>
      <c r="B7" s="3">
        <f>B6+0.25%</f>
        <v>6.2600000000000003E-2</v>
      </c>
      <c r="C7" s="3">
        <f>C6+0.19%</f>
        <v>6.7599999999999993E-2</v>
      </c>
    </row>
    <row r="8" spans="1:5" x14ac:dyDescent="0.35">
      <c r="A8" s="5">
        <v>43100</v>
      </c>
      <c r="B8" s="3">
        <f>B7+0.35%</f>
        <v>6.6100000000000006E-2</v>
      </c>
      <c r="C8" s="3">
        <f>C7+0.35%</f>
        <v>7.1099999999999997E-2</v>
      </c>
    </row>
    <row r="9" spans="1:5" x14ac:dyDescent="0.35">
      <c r="A9" s="5">
        <v>42735</v>
      </c>
      <c r="B9" s="3">
        <f>B8+0.57%</f>
        <v>7.1800000000000003E-2</v>
      </c>
      <c r="C9" s="3">
        <f>C8+0.37%</f>
        <v>7.4799999999999991E-2</v>
      </c>
    </row>
    <row r="10" spans="1:5" x14ac:dyDescent="0.35">
      <c r="A10" s="5"/>
      <c r="B10" s="3"/>
      <c r="C10" s="3"/>
    </row>
    <row r="12" spans="1:5" x14ac:dyDescent="0.35">
      <c r="A12" t="s">
        <v>24</v>
      </c>
    </row>
    <row r="16" spans="1:5" x14ac:dyDescent="0.35">
      <c r="D16" t="s">
        <v>25</v>
      </c>
      <c r="E16" s="4">
        <v>0.08</v>
      </c>
    </row>
    <row r="17" spans="4:5" x14ac:dyDescent="0.35">
      <c r="D17" t="s">
        <v>26</v>
      </c>
    </row>
    <row r="18" spans="4:5" x14ac:dyDescent="0.35">
      <c r="E18" s="3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Waardeontwikkeling</vt:lpstr>
      <vt:lpstr>Waardeontwikkeling per model</vt:lpstr>
      <vt:lpstr>Disconteringsvoet</vt:lpstr>
      <vt:lpstr>Disconteringsvoet scenarios</vt:lpstr>
    </vt:vector>
  </TitlesOfParts>
  <Manager/>
  <Company>Ortec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Albers</dc:creator>
  <cp:keywords/>
  <dc:description/>
  <cp:lastModifiedBy>Yuliia Bobrovytska</cp:lastModifiedBy>
  <cp:revision/>
  <dcterms:created xsi:type="dcterms:W3CDTF">2022-06-14T15:12:15Z</dcterms:created>
  <dcterms:modified xsi:type="dcterms:W3CDTF">2026-05-31T21:15:30Z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be7964-ceab-4986-9292-62cd906b3330_Enabled">
    <vt:lpwstr>true</vt:lpwstr>
  </property>
  <property fmtid="{D5CDD505-2E9C-101B-9397-08002B2CF9AE}" pid="3" name="MSIP_Label_cdbe7964-ceab-4986-9292-62cd906b3330_SetDate">
    <vt:lpwstr>2025-05-15T12:49:36Z</vt:lpwstr>
  </property>
  <property fmtid="{D5CDD505-2E9C-101B-9397-08002B2CF9AE}" pid="4" name="MSIP_Label_cdbe7964-ceab-4986-9292-62cd906b3330_Method">
    <vt:lpwstr>Standard</vt:lpwstr>
  </property>
  <property fmtid="{D5CDD505-2E9C-101B-9397-08002B2CF9AE}" pid="5" name="MSIP_Label_cdbe7964-ceab-4986-9292-62cd906b3330_Name">
    <vt:lpwstr>General</vt:lpwstr>
  </property>
  <property fmtid="{D5CDD505-2E9C-101B-9397-08002B2CF9AE}" pid="6" name="MSIP_Label_cdbe7964-ceab-4986-9292-62cd906b3330_SiteId">
    <vt:lpwstr>14ca6bf4-a883-479e-bd9d-a73b7f590886</vt:lpwstr>
  </property>
  <property fmtid="{D5CDD505-2E9C-101B-9397-08002B2CF9AE}" pid="7" name="MSIP_Label_cdbe7964-ceab-4986-9292-62cd906b3330_ActionId">
    <vt:lpwstr>463eacac-eacb-4a27-b4e5-f092f356783f</vt:lpwstr>
  </property>
  <property fmtid="{D5CDD505-2E9C-101B-9397-08002B2CF9AE}" pid="8" name="MSIP_Label_cdbe7964-ceab-4986-9292-62cd906b3330_ContentBits">
    <vt:lpwstr>0</vt:lpwstr>
  </property>
  <property fmtid="{D5CDD505-2E9C-101B-9397-08002B2CF9AE}" pid="9" name="MSIP_Label_cdbe7964-ceab-4986-9292-62cd906b3330_Tag">
    <vt:lpwstr>10, 3, 0, 1</vt:lpwstr>
  </property>
</Properties>
</file>